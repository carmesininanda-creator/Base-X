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 Table" sheetId="1" r:id="rId5"/>
  </sheets>
  <definedNames/>
  <calcPr/>
</workbook>
</file>

<file path=xl/sharedStrings.xml><?xml version="1.0" encoding="utf-8"?>
<sst xmlns="http://schemas.openxmlformats.org/spreadsheetml/2006/main" count="62" uniqueCount="52">
  <si>
    <t>Fluxa — Cap Table (Simulação)</t>
  </si>
  <si>
    <t>Células AZUIS editáveis. Mostra antes e depois da rodada Seed, em 3 valuations. Junho 2026.</t>
  </si>
  <si>
    <t>PARTICIPAÇÃO PRÉ-INVESTIMENTO (hoje)</t>
  </si>
  <si>
    <t>Sócio</t>
  </si>
  <si>
    <t>% (pré)</t>
  </si>
  <si>
    <t>Observação</t>
  </si>
  <si>
    <t>Ian Christopher Hansen</t>
  </si>
  <si>
    <t>fundador (60% dos fundadores)</t>
  </si>
  <si>
    <t>Maria Fernanda Carmesini Braga</t>
  </si>
  <si>
    <t>fundadora (20% dos fundadores)</t>
  </si>
  <si>
    <t>Rafael Tadeu Piazza</t>
  </si>
  <si>
    <t>fundador (20% dos fundadores)</t>
  </si>
  <si>
    <t>João Pedro Caruso Braga</t>
  </si>
  <si>
    <t>sócio comercial (vesting 4a)</t>
  </si>
  <si>
    <t>Luca Caruso Braga</t>
  </si>
  <si>
    <t>TOTAL</t>
  </si>
  <si>
    <t>deve somar 100%</t>
  </si>
  <si>
    <t>RODADA SEED</t>
  </si>
  <si>
    <t>Aporte (R$)</t>
  </si>
  <si>
    <t>PARTICIPAÇÃO PÓS-RODADA (por valuation pré-money)</t>
  </si>
  <si>
    <t>Sócio / Investidor</t>
  </si>
  <si>
    <t>Pré R$6M</t>
  </si>
  <si>
    <t>Pré R$8M</t>
  </si>
  <si>
    <t>Pré R$10M</t>
  </si>
  <si>
    <t>(valuation pré-money)</t>
  </si>
  <si>
    <t>Investidor (novo)</t>
  </si>
  <si>
    <t>VALOR DE CADA FATIA — exemplo no cenário pré R$8M (pós R$10M)</t>
  </si>
  <si>
    <t>% pós</t>
  </si>
  <si>
    <t>Valor da fatia</t>
  </si>
  <si>
    <t>Notas:</t>
  </si>
  <si>
    <t>• Edite os % pré (azul) conforme a divisão real entre os fundadores. O total pré deve dar 100%.</t>
  </si>
  <si>
    <t>• Sobrinhos entram com 5% combinado (2,5% cada) pré-investimento, com vesting de 4 anos.</t>
  </si>
  <si>
    <t>• Todos (fundadores e sobrinhos) são diluídos proporcionalmente quando o investidor entra.</t>
  </si>
  <si>
    <t>• Valuation e aporte são editáveis. 'Pós-money' = pré + aporte; % investidor = aporte / pós.</t>
  </si>
  <si>
    <t>• Simulação — confirmar com advogado/contador. Valores não são garantia; dependem do valuation real.</t>
  </si>
  <si>
    <t>VERSÃO B — 70/15/15, SÓ O IAN DILUI (cenário pré R$ 8M)</t>
  </si>
  <si>
    <t>% pré</t>
  </si>
  <si>
    <t>Valor (pós R$ 10M)</t>
  </si>
  <si>
    <t>Investidor (Seed)</t>
  </si>
  <si>
    <t>—</t>
  </si>
  <si>
    <t>Diferença: Versão A (60/20/20, todos diluem) → Ian 45,6% / Maria 15,2% / Rafa 15,2%. Versão B (70/15/15, só o Ian dilui) → Ian 45,0% / Maria 15,0% / Rafa 15,0%. O Ian termina quase igual nas duas (~45%); a diferença é quem absorve a diluição. Investidor 20% nas duas. Decisão dos sócios — formalizar em acordo de sócios.</t>
  </si>
  <si>
    <t>WATERFALL DE SAÍDA — RETORNO DO INVESTIDOR SEED</t>
  </si>
  <si>
    <t>Premissa: investidor Seed entra com 20% (R$ 2M). Numa Série A futura (ex.: R$ 10M por 20%), todos diluem ~20% → o Seed vai a ~16%.</t>
  </si>
  <si>
    <t>Participação do Seed</t>
  </si>
  <si>
    <t>No fechamento</t>
  </si>
  <si>
    <t>Após Série A</t>
  </si>
  <si>
    <t>% do investidor Seed</t>
  </si>
  <si>
    <t>Valor da fatia do Seed na SAÍDA (com ~16% pós-Série A)</t>
  </si>
  <si>
    <t>Valuation de saída</t>
  </si>
  <si>
    <t>Valor para o Seed</t>
  </si>
  <si>
    <t>Múltiplo s/ R$ 2M</t>
  </si>
  <si>
    <t>Leitura: 20% no Seed, diluído para ~16% na Série A, vale R$ 8–32M num exit de R$ 50–200M — retorno de 4x a 16x sobre os R$ 2M. É assim que o investidor faz dinheiro. Liquidation preference e conversão a definir no term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</si>
</sst>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R$ &quot;#,##0"/>
    <numFmt numFmtId="166" formatCode="0.0\x"/>
  </numFmts>
  <fonts count="9">
    <font>
      <sz val="11.0"/>
      <color theme="1"/>
      <name val="Calibri"/>
      <scheme val="minor"/>
    </font>
    <font>
      <b/>
      <sz val="16.0"/>
      <color rgb="FF262019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262019"/>
      <name val="Arial"/>
    </font>
    <font>
      <sz val="11.0"/>
      <color rgb="FF000000"/>
      <name val="Arial"/>
    </font>
    <font>
      <sz val="11.0"/>
      <color rgb="FF0000FF"/>
      <name val="Arial"/>
    </font>
    <font>
      <b/>
      <sz val="11.0"/>
      <color rgb="FF1E7A5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62019"/>
        <bgColor rgb="FF262019"/>
      </patternFill>
    </fill>
    <fill>
      <patternFill patternType="solid">
        <fgColor rgb="FFFFF7CC"/>
        <bgColor rgb="FFFFF7CC"/>
      </patternFill>
    </fill>
    <fill>
      <patternFill patternType="solid">
        <fgColor rgb="FFF6EDD6"/>
        <bgColor rgb="FFF6EDD6"/>
      </patternFill>
    </fill>
    <fill>
      <patternFill patternType="solid">
        <fgColor rgb="FFEAFBF3"/>
        <bgColor rgb="FFEAFBF3"/>
      </patternFill>
    </fill>
  </fills>
  <borders count="3">
    <border/>
    <border>
      <left/>
      <right/>
      <top/>
      <bottom/>
    </border>
    <border>
      <left style="thin">
        <color rgb="FFE6DEC9"/>
      </left>
      <right style="thin">
        <color rgb="FFE6DEC9"/>
      </right>
      <top style="thin">
        <color rgb="FFE6DEC9"/>
      </top>
      <bottom style="thin">
        <color rgb="FFE6DEC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1" fillId="2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2" fillId="3" fontId="7" numFmtId="164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2" fillId="4" fontId="5" numFmtId="0" xfId="0" applyAlignment="1" applyBorder="1" applyFill="1" applyFont="1">
      <alignment shrinkToFit="0" vertical="top" wrapText="1"/>
    </xf>
    <xf borderId="2" fillId="4" fontId="5" numFmtId="164" xfId="0" applyAlignment="1" applyBorder="1" applyFont="1" applyNumberFormat="1">
      <alignment horizontal="center" shrinkToFit="0" vertical="center" wrapText="0"/>
    </xf>
    <xf borderId="2" fillId="3" fontId="7" numFmtId="165" xfId="0" applyAlignment="1" applyBorder="1" applyFont="1" applyNumberFormat="1">
      <alignment horizontal="right" shrinkToFit="0" vertical="bottom" wrapText="0"/>
    </xf>
    <xf borderId="2" fillId="2" fontId="3" numFmtId="0" xfId="0" applyAlignment="1" applyBorder="1" applyFont="1">
      <alignment horizontal="center" shrinkToFit="0" vertical="center" wrapText="0"/>
    </xf>
    <xf borderId="2" fillId="0" fontId="6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top" wrapText="1"/>
    </xf>
    <xf borderId="2" fillId="5" fontId="8" numFmtId="164" xfId="0" applyAlignment="1" applyBorder="1" applyFill="1" applyFont="1" applyNumberFormat="1">
      <alignment horizontal="center" shrinkToFit="0" vertical="center" wrapText="0"/>
    </xf>
    <xf borderId="2" fillId="0" fontId="6" numFmtId="165" xfId="0" applyAlignment="1" applyBorder="1" applyFont="1" applyNumberFormat="1">
      <alignment horizontal="right" shrinkToFit="0" vertical="bottom" wrapText="0"/>
    </xf>
    <xf borderId="2" fillId="0" fontId="8" numFmtId="164" xfId="0" applyAlignment="1" applyBorder="1" applyFont="1" applyNumberFormat="1">
      <alignment horizontal="center" shrinkToFit="0" vertical="center" wrapText="0"/>
    </xf>
    <xf borderId="2" fillId="0" fontId="8" numFmtId="165" xfId="0" applyAlignment="1" applyBorder="1" applyFont="1" applyNumberFormat="1">
      <alignment horizontal="right" shrinkToFit="0" vertical="bottom" wrapText="0"/>
    </xf>
    <xf borderId="2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shrinkToFit="0" vertical="top" wrapText="1"/>
    </xf>
    <xf borderId="1" fillId="4" fontId="4" numFmtId="0" xfId="0" applyAlignment="1" applyBorder="1" applyFont="1">
      <alignment shrinkToFit="0" vertical="bottom" wrapText="0"/>
    </xf>
    <xf borderId="2" fillId="0" fontId="6" numFmtId="165" xfId="0" applyAlignment="1" applyBorder="1" applyFont="1" applyNumberFormat="1">
      <alignment horizontal="right" shrinkToFit="0" vertical="top" wrapText="1"/>
    </xf>
    <xf borderId="2" fillId="0" fontId="8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8.0"/>
    <col customWidth="1" min="3" max="3" width="19.0"/>
    <col customWidth="1" min="4" max="4" width="32.0"/>
    <col customWidth="1" min="5" max="5" width="20.0"/>
    <col customWidth="1" min="6" max="7" width="15.0"/>
    <col customWidth="1" min="8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D5" s="4"/>
    </row>
    <row r="6">
      <c r="B6" s="5" t="s">
        <v>3</v>
      </c>
      <c r="C6" s="6" t="s">
        <v>4</v>
      </c>
      <c r="D6" s="7" t="s">
        <v>5</v>
      </c>
    </row>
    <row r="7">
      <c r="B7" s="8" t="s">
        <v>6</v>
      </c>
      <c r="C7" s="9">
        <v>0.57</v>
      </c>
      <c r="D7" s="10" t="s">
        <v>7</v>
      </c>
    </row>
    <row r="8">
      <c r="B8" s="8" t="s">
        <v>8</v>
      </c>
      <c r="C8" s="9">
        <v>0.19</v>
      </c>
      <c r="D8" s="10" t="s">
        <v>9</v>
      </c>
    </row>
    <row r="9">
      <c r="B9" s="8" t="s">
        <v>10</v>
      </c>
      <c r="C9" s="9">
        <v>0.19</v>
      </c>
      <c r="D9" s="10" t="s">
        <v>11</v>
      </c>
    </row>
    <row r="10">
      <c r="B10" s="8" t="s">
        <v>12</v>
      </c>
      <c r="C10" s="9">
        <v>0.025</v>
      </c>
      <c r="D10" s="10" t="s">
        <v>13</v>
      </c>
    </row>
    <row r="11">
      <c r="B11" s="8" t="s">
        <v>14</v>
      </c>
      <c r="C11" s="9">
        <v>0.025</v>
      </c>
      <c r="D11" s="10" t="s">
        <v>13</v>
      </c>
    </row>
    <row r="12">
      <c r="B12" s="11" t="s">
        <v>15</v>
      </c>
      <c r="C12" s="12">
        <f>SUM(C7:C11)</f>
        <v>1</v>
      </c>
      <c r="D12" s="10" t="s">
        <v>16</v>
      </c>
    </row>
    <row r="14">
      <c r="B14" s="3" t="s">
        <v>17</v>
      </c>
      <c r="C14" s="4"/>
      <c r="D14" s="4"/>
    </row>
    <row r="15">
      <c r="B15" s="8" t="s">
        <v>18</v>
      </c>
      <c r="C15" s="13">
        <v>2000000.0</v>
      </c>
    </row>
    <row r="17">
      <c r="B17" s="3" t="s">
        <v>19</v>
      </c>
      <c r="C17" s="4"/>
      <c r="D17" s="4"/>
      <c r="E17" s="4"/>
      <c r="F17" s="4"/>
      <c r="G17" s="4"/>
    </row>
    <row r="18">
      <c r="B18" s="5" t="s">
        <v>20</v>
      </c>
      <c r="C18" s="14" t="s">
        <v>21</v>
      </c>
      <c r="D18" s="14" t="s">
        <v>22</v>
      </c>
      <c r="E18" s="14" t="s">
        <v>23</v>
      </c>
    </row>
    <row r="19">
      <c r="B19" s="2" t="s">
        <v>24</v>
      </c>
      <c r="C19" s="13">
        <v>6000000.0</v>
      </c>
      <c r="D19" s="13">
        <v>8000000.0</v>
      </c>
      <c r="E19" s="13">
        <v>1.0E7</v>
      </c>
    </row>
    <row r="20">
      <c r="B20" s="8" t="str">
        <f t="shared" ref="B20:B24" si="1">B7</f>
        <v>Ian Christopher Hansen</v>
      </c>
      <c r="C20" s="15">
        <f>C7*(C19/(C19+$C$15))</f>
        <v>0.4275</v>
      </c>
      <c r="D20" s="15">
        <f>C7*(D19/(D19+$C$15))</f>
        <v>0.456</v>
      </c>
      <c r="E20" s="15">
        <f>C7*(E19/(E19+$C$15))</f>
        <v>0.475</v>
      </c>
    </row>
    <row r="21" ht="15.75" customHeight="1">
      <c r="B21" s="8" t="str">
        <f t="shared" si="1"/>
        <v>Maria Fernanda Carmesini Braga</v>
      </c>
      <c r="C21" s="15">
        <f>C8*(C19/(C19+$C$15))</f>
        <v>0.1425</v>
      </c>
      <c r="D21" s="15">
        <f>C8*(D19/(D19+$C$15))</f>
        <v>0.152</v>
      </c>
      <c r="E21" s="15">
        <f>C8*(E19/(E19+$C$15))</f>
        <v>0.1583333333</v>
      </c>
    </row>
    <row r="22" ht="15.75" customHeight="1">
      <c r="B22" s="8" t="str">
        <f t="shared" si="1"/>
        <v>Rafael Tadeu Piazza</v>
      </c>
      <c r="C22" s="15">
        <f>C9*(C19/(C19+$C$15))</f>
        <v>0.1425</v>
      </c>
      <c r="D22" s="15">
        <f>C9*(D19/(D19+$C$15))</f>
        <v>0.152</v>
      </c>
      <c r="E22" s="15">
        <f>C9*(E19/(E19+$C$15))</f>
        <v>0.1583333333</v>
      </c>
    </row>
    <row r="23" ht="15.75" customHeight="1">
      <c r="B23" s="8" t="str">
        <f t="shared" si="1"/>
        <v>João Pedro Caruso Braga</v>
      </c>
      <c r="C23" s="15">
        <f>C10*(C19/(C19+$C$15))</f>
        <v>0.01875</v>
      </c>
      <c r="D23" s="15">
        <f>C10*(D19/(D19+$C$15))</f>
        <v>0.02</v>
      </c>
      <c r="E23" s="15">
        <f>C10*(E19/(E19+$C$15))</f>
        <v>0.02083333333</v>
      </c>
    </row>
    <row r="24" ht="15.75" customHeight="1">
      <c r="B24" s="8" t="str">
        <f t="shared" si="1"/>
        <v>Luca Caruso Braga</v>
      </c>
      <c r="C24" s="15">
        <f>C11*(C19/(C19+$C$15))</f>
        <v>0.01875</v>
      </c>
      <c r="D24" s="15">
        <f>C11*(D19/(D19+$C$15))</f>
        <v>0.02</v>
      </c>
      <c r="E24" s="15">
        <f>C11*(E19/(E19+$C$15))</f>
        <v>0.02083333333</v>
      </c>
    </row>
    <row r="25" ht="15.75" customHeight="1">
      <c r="B25" s="16" t="s">
        <v>25</v>
      </c>
      <c r="C25" s="17">
        <f t="shared" ref="C25:E25" si="2">$C$15/(C19+$C$15)</f>
        <v>0.25</v>
      </c>
      <c r="D25" s="17">
        <f t="shared" si="2"/>
        <v>0.2</v>
      </c>
      <c r="E25" s="17">
        <f t="shared" si="2"/>
        <v>0.1666666667</v>
      </c>
    </row>
    <row r="26" ht="15.75" customHeight="1">
      <c r="B26" s="11" t="s">
        <v>15</v>
      </c>
      <c r="C26" s="12">
        <f t="shared" ref="C26:E26" si="3">SUM(C20:C25)</f>
        <v>1</v>
      </c>
      <c r="D26" s="12">
        <f t="shared" si="3"/>
        <v>1</v>
      </c>
      <c r="E26" s="12">
        <f t="shared" si="3"/>
        <v>1</v>
      </c>
    </row>
    <row r="27" ht="15.75" customHeight="1"/>
    <row r="28" ht="15.75" customHeight="1">
      <c r="B28" s="3" t="s">
        <v>26</v>
      </c>
      <c r="C28" s="4"/>
      <c r="D28" s="4"/>
    </row>
    <row r="29" ht="15.75" customHeight="1">
      <c r="B29" s="5" t="s">
        <v>3</v>
      </c>
      <c r="C29" s="6" t="s">
        <v>27</v>
      </c>
      <c r="D29" s="6" t="s">
        <v>28</v>
      </c>
    </row>
    <row r="30" ht="15.75" customHeight="1">
      <c r="B30" s="8" t="str">
        <f t="shared" ref="B30:B34" si="4">B7</f>
        <v>Ian Christopher Hansen</v>
      </c>
      <c r="C30" s="15">
        <f t="shared" ref="C30:C34" si="5">D20</f>
        <v>0.456</v>
      </c>
      <c r="D30" s="18">
        <f>D20*(D19+$C$15)</f>
        <v>4560000</v>
      </c>
    </row>
    <row r="31" ht="15.75" customHeight="1">
      <c r="B31" s="8" t="str">
        <f t="shared" si="4"/>
        <v>Maria Fernanda Carmesini Braga</v>
      </c>
      <c r="C31" s="15">
        <f t="shared" si="5"/>
        <v>0.152</v>
      </c>
      <c r="D31" s="18">
        <f>D21*(D19+$C$15)</f>
        <v>1520000</v>
      </c>
    </row>
    <row r="32" ht="15.75" customHeight="1">
      <c r="B32" s="8" t="str">
        <f t="shared" si="4"/>
        <v>Rafael Tadeu Piazza</v>
      </c>
      <c r="C32" s="15">
        <f t="shared" si="5"/>
        <v>0.152</v>
      </c>
      <c r="D32" s="18">
        <f>D22*(D19+$C$15)</f>
        <v>1520000</v>
      </c>
    </row>
    <row r="33" ht="15.75" customHeight="1">
      <c r="B33" s="8" t="str">
        <f t="shared" si="4"/>
        <v>João Pedro Caruso Braga</v>
      </c>
      <c r="C33" s="15">
        <f t="shared" si="5"/>
        <v>0.02</v>
      </c>
      <c r="D33" s="18">
        <f>D23*(D19+$C$15)</f>
        <v>200000</v>
      </c>
    </row>
    <row r="34" ht="15.75" customHeight="1">
      <c r="B34" s="8" t="str">
        <f t="shared" si="4"/>
        <v>Luca Caruso Braga</v>
      </c>
      <c r="C34" s="15">
        <f t="shared" si="5"/>
        <v>0.02</v>
      </c>
      <c r="D34" s="18">
        <f>D24*(D19+$C$15)</f>
        <v>200000</v>
      </c>
    </row>
    <row r="35" ht="15.75" customHeight="1"/>
    <row r="36" ht="15.75" customHeight="1">
      <c r="B36" s="5" t="s">
        <v>29</v>
      </c>
    </row>
    <row r="37" ht="15.75" customHeight="1">
      <c r="B37" s="2" t="s">
        <v>30</v>
      </c>
    </row>
    <row r="38" ht="15.75" customHeight="1">
      <c r="B38" s="2" t="s">
        <v>31</v>
      </c>
    </row>
    <row r="39" ht="15.75" customHeight="1">
      <c r="B39" s="2" t="s">
        <v>32</v>
      </c>
    </row>
    <row r="40" ht="15.75" customHeight="1">
      <c r="B40" s="2" t="s">
        <v>33</v>
      </c>
    </row>
    <row r="41" ht="15.75" customHeight="1">
      <c r="B41" s="2" t="s">
        <v>34</v>
      </c>
    </row>
    <row r="42" ht="15.75" customHeight="1"/>
    <row r="43" ht="15.75" customHeight="1">
      <c r="B43" s="3" t="s">
        <v>35</v>
      </c>
      <c r="C43" s="4"/>
      <c r="D43" s="4"/>
      <c r="E43" s="4"/>
    </row>
    <row r="44" ht="15.75" customHeight="1">
      <c r="B44" s="5" t="s">
        <v>20</v>
      </c>
      <c r="C44" s="6" t="s">
        <v>36</v>
      </c>
      <c r="D44" s="6" t="s">
        <v>27</v>
      </c>
      <c r="E44" s="6" t="s">
        <v>37</v>
      </c>
    </row>
    <row r="45" ht="15.75" customHeight="1">
      <c r="B45" s="8" t="s">
        <v>6</v>
      </c>
      <c r="C45" s="15">
        <v>0.65</v>
      </c>
      <c r="D45" s="15">
        <v>0.45</v>
      </c>
      <c r="E45" s="18">
        <v>4500000.0</v>
      </c>
    </row>
    <row r="46" ht="15.75" customHeight="1">
      <c r="B46" s="8" t="s">
        <v>8</v>
      </c>
      <c r="C46" s="15">
        <v>0.15</v>
      </c>
      <c r="D46" s="15">
        <v>0.15</v>
      </c>
      <c r="E46" s="18">
        <v>1500000.0</v>
      </c>
    </row>
    <row r="47" ht="15.75" customHeight="1">
      <c r="B47" s="8" t="s">
        <v>10</v>
      </c>
      <c r="C47" s="15">
        <v>0.15</v>
      </c>
      <c r="D47" s="15">
        <v>0.15</v>
      </c>
      <c r="E47" s="18">
        <v>1500000.0</v>
      </c>
    </row>
    <row r="48" ht="15.75" customHeight="1">
      <c r="B48" s="8" t="s">
        <v>12</v>
      </c>
      <c r="C48" s="15">
        <v>0.025</v>
      </c>
      <c r="D48" s="15">
        <v>0.025</v>
      </c>
      <c r="E48" s="18">
        <v>250000.0</v>
      </c>
    </row>
    <row r="49" ht="15.75" customHeight="1">
      <c r="B49" s="8" t="s">
        <v>14</v>
      </c>
      <c r="C49" s="15">
        <v>0.025</v>
      </c>
      <c r="D49" s="15">
        <v>0.025</v>
      </c>
      <c r="E49" s="18">
        <v>250000.0</v>
      </c>
    </row>
    <row r="50" ht="15.75" customHeight="1">
      <c r="B50" s="16" t="s">
        <v>38</v>
      </c>
      <c r="C50" s="15" t="s">
        <v>39</v>
      </c>
      <c r="D50" s="19">
        <v>0.2</v>
      </c>
      <c r="E50" s="20">
        <v>2000000.0</v>
      </c>
    </row>
    <row r="51" ht="15.75" customHeight="1">
      <c r="B51" s="2" t="s">
        <v>40</v>
      </c>
    </row>
    <row r="52" ht="15.75" customHeight="1"/>
    <row r="53" ht="15.75" customHeight="1"/>
    <row r="54" ht="15.75" customHeight="1">
      <c r="B54" s="3" t="s">
        <v>41</v>
      </c>
      <c r="C54" s="4"/>
      <c r="D54" s="4"/>
      <c r="E54" s="4"/>
    </row>
    <row r="55" ht="15.75" customHeight="1">
      <c r="B55" s="2" t="s">
        <v>42</v>
      </c>
    </row>
    <row r="56" ht="15.75" customHeight="1">
      <c r="B56" s="21" t="s">
        <v>43</v>
      </c>
      <c r="C56" s="22" t="s">
        <v>44</v>
      </c>
      <c r="D56" s="22" t="s">
        <v>45</v>
      </c>
    </row>
    <row r="57" ht="15.75" customHeight="1">
      <c r="B57" s="23" t="s">
        <v>46</v>
      </c>
      <c r="C57" s="15">
        <v>0.2</v>
      </c>
      <c r="D57" s="15">
        <v>0.16</v>
      </c>
    </row>
    <row r="58" ht="15.75" customHeight="1"/>
    <row r="59" ht="15.75" customHeight="1">
      <c r="B59" s="5" t="s">
        <v>47</v>
      </c>
      <c r="C59" s="24"/>
      <c r="D59" s="24"/>
      <c r="E59" s="24"/>
    </row>
    <row r="60" ht="15.75" customHeight="1">
      <c r="B60" s="21" t="s">
        <v>48</v>
      </c>
      <c r="C60" s="22" t="s">
        <v>49</v>
      </c>
      <c r="D60" s="22" t="s">
        <v>50</v>
      </c>
    </row>
    <row r="61" ht="15.75" customHeight="1">
      <c r="B61" s="25">
        <v>5.0E7</v>
      </c>
      <c r="C61" s="20">
        <f t="shared" ref="C61:C63" si="6">B61*$D$57</f>
        <v>8000000</v>
      </c>
      <c r="D61" s="26">
        <f t="shared" ref="D61:D63" si="7">C61/2000000</f>
        <v>4</v>
      </c>
    </row>
    <row r="62" ht="15.75" customHeight="1">
      <c r="B62" s="25">
        <v>1.0E8</v>
      </c>
      <c r="C62" s="20">
        <f t="shared" si="6"/>
        <v>16000000</v>
      </c>
      <c r="D62" s="26">
        <f t="shared" si="7"/>
        <v>8</v>
      </c>
    </row>
    <row r="63" ht="15.75" customHeight="1">
      <c r="B63" s="25">
        <v>2.0E8</v>
      </c>
      <c r="C63" s="20">
        <f t="shared" si="6"/>
        <v>32000000</v>
      </c>
      <c r="D63" s="26">
        <f t="shared" si="7"/>
        <v>16</v>
      </c>
    </row>
    <row r="64" ht="15.75" customHeight="1"/>
    <row r="65" ht="15.75" customHeight="1">
      <c r="B65" s="2" t="s">
        <v>51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